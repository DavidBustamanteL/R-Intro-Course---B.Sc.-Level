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. PhD Emp. Social Choice\2. Lehre\Bachelor\Fiskalföderalismus\R Uebung\"/>
    </mc:Choice>
  </mc:AlternateContent>
  <xr:revisionPtr revIDLastSave="0" documentId="13_ncr:1_{71B2537C-8AD6-4BB9-9C99-E7049F4DE3BA}" xr6:coauthVersionLast="47" xr6:coauthVersionMax="47" xr10:uidLastSave="{00000000-0000-0000-0000-000000000000}"/>
  <bookViews>
    <workbookView xWindow="43080" yWindow="-120" windowWidth="29040" windowHeight="15720" xr2:uid="{B421E7B7-F499-4142-AA99-9C29E4ADA967}"/>
  </bookViews>
  <sheets>
    <sheet name="Abb1." sheetId="1" r:id="rId1"/>
    <sheet name="Abb2." sheetId="2" r:id="rId2"/>
    <sheet name="Abb3." sheetId="3" r:id="rId3"/>
    <sheet name="Abb4." sheetId="4" r:id="rId4"/>
    <sheet name="Abb.5" sheetId="5" r:id="rId5"/>
    <sheet name="Abb. 6" sheetId="6" r:id="rId6"/>
    <sheet name="Abb7." sheetId="7" r:id="rId7"/>
    <sheet name="Abb8." sheetId="8" r:id="rId8"/>
    <sheet name="Abb9." sheetId="9" r:id="rId9"/>
    <sheet name="Abb10." sheetId="10" r:id="rId10"/>
    <sheet name="Abb11.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1" l="1"/>
  <c r="F7" i="11"/>
  <c r="F6" i="11"/>
  <c r="F5" i="11"/>
  <c r="E8" i="11"/>
  <c r="E7" i="11"/>
  <c r="E6" i="11"/>
  <c r="E5" i="11"/>
  <c r="F8" i="10"/>
  <c r="F7" i="10"/>
  <c r="F6" i="10"/>
  <c r="F5" i="10"/>
  <c r="E8" i="10"/>
  <c r="E7" i="10"/>
  <c r="E6" i="10"/>
  <c r="E5" i="10"/>
  <c r="F8" i="9"/>
  <c r="F7" i="9"/>
  <c r="F6" i="9"/>
  <c r="F5" i="9"/>
  <c r="E8" i="9"/>
  <c r="E7" i="9"/>
  <c r="E6" i="9"/>
  <c r="E5" i="9"/>
  <c r="F6" i="8"/>
  <c r="F5" i="8"/>
  <c r="F7" i="8"/>
  <c r="F8" i="8"/>
  <c r="E8" i="8"/>
  <c r="E7" i="8"/>
  <c r="E6" i="8"/>
  <c r="E5" i="8"/>
  <c r="F7" i="7"/>
  <c r="F6" i="7"/>
  <c r="F5" i="7"/>
  <c r="F8" i="7"/>
  <c r="E8" i="7"/>
  <c r="E7" i="7"/>
  <c r="E6" i="7"/>
  <c r="E5" i="7"/>
</calcChain>
</file>

<file path=xl/sharedStrings.xml><?xml version="1.0" encoding="utf-8"?>
<sst xmlns="http://schemas.openxmlformats.org/spreadsheetml/2006/main" count="84" uniqueCount="27">
  <si>
    <t>Abbildung 1. Männer und Frauen (alle Bereiche)</t>
  </si>
  <si>
    <t>Abb. 6: H3 - Belastung durch Kita und Schulschließungen</t>
  </si>
  <si>
    <t>Abbildung 2. Männer und Frauen am meistens belasted (mit Kita-Kindern)</t>
  </si>
  <si>
    <t>Abbildung 3. Männer und Frauen am meistens belasted (mit Grundschulkindern)</t>
  </si>
  <si>
    <t>Abbildung 4. Männer und Frauen am meistens belasted (mit Sekundarschulkindern)</t>
  </si>
  <si>
    <t>Abbildung 5. Männer und Frauen am meistens belasted (ohne &lt;16Ja Kindern)</t>
  </si>
  <si>
    <t>Work</t>
  </si>
  <si>
    <t>Child Care</t>
  </si>
  <si>
    <t>Finance</t>
  </si>
  <si>
    <t>Family</t>
  </si>
  <si>
    <t>Overall</t>
  </si>
  <si>
    <t>Women</t>
  </si>
  <si>
    <t>Men</t>
  </si>
  <si>
    <t>No Children under 16yo</t>
  </si>
  <si>
    <t>Child in Kita</t>
  </si>
  <si>
    <t>Child in Primary School</t>
  </si>
  <si>
    <t>Child in Secundary School</t>
  </si>
  <si>
    <t>Abb. 7: Arbeitsbelastung</t>
  </si>
  <si>
    <t>with Child in Kita</t>
  </si>
  <si>
    <t>with Child in Primary School</t>
  </si>
  <si>
    <t>with Child in Secundary School</t>
  </si>
  <si>
    <t>w/o Children under 16yo</t>
  </si>
  <si>
    <t>Abb. 8: Belastung Kinderbetreuung</t>
  </si>
  <si>
    <t>Abb. 9: Finanziele Belastung</t>
  </si>
  <si>
    <t>Abb. 10: Familien Belastung</t>
  </si>
  <si>
    <t>Abb. 11: Belastung Allgemein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</si>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</sst>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1"/>
    <xf numFmtId="10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415DC5E-D8B1-4370-B055-360B8EA1D754}"/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sz="1000" b="1" i="0" u="none" strike="noStrike" baseline="0">
                <a:solidFill>
                  <a:sysClr val="windowText" lastClr="000000"/>
                </a:solidFill>
                <a:effectLst/>
              </a:rPr>
              <a:t>Fig. 1:</a:t>
            </a:r>
            <a:r>
              <a:rPr lang="es-PE" sz="1000" b="0" i="0" u="none" strike="noStrike" baseline="0">
                <a:solidFill>
                  <a:sysClr val="windowText" lastClr="000000"/>
                </a:solidFill>
                <a:effectLst/>
              </a:rPr>
              <a:t> Strain from Parents during the Covid-19 Pandemic</a:t>
            </a:r>
            <a:endParaRPr lang="es-PE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2458259471492764E-2"/>
          <c:y val="0.8985243717302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'Abb1.'!$C$4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'Abb1.'!$C$5:$C$9</c:f>
              <c:numCache>
                <c:formatCode>General</c:formatCode>
                <c:ptCount val="5"/>
                <c:pt idx="0">
                  <c:v>3.3536000000000001</c:v>
                </c:pt>
                <c:pt idx="1">
                  <c:v>3.5773000000000001</c:v>
                </c:pt>
                <c:pt idx="2">
                  <c:v>2.8426</c:v>
                </c:pt>
                <c:pt idx="3">
                  <c:v>2.9123999999999999</c:v>
                </c:pt>
                <c:pt idx="4">
                  <c:v>3.4754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C-4B0E-87A2-526A99724DC9}"/>
            </c:ext>
          </c:extLst>
        </c:ser>
        <c:ser>
          <c:idx val="1"/>
          <c:order val="1"/>
          <c:tx>
            <c:strRef>
              <c:f>'Abb1.'!$D$4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'Abb1.'!$D$5:$D$9</c:f>
              <c:numCache>
                <c:formatCode>#,##0.0000</c:formatCode>
                <c:ptCount val="5"/>
                <c:pt idx="0">
                  <c:v>3.1707999999999998</c:v>
                </c:pt>
                <c:pt idx="1">
                  <c:v>3.4809000000000001</c:v>
                </c:pt>
                <c:pt idx="2">
                  <c:v>2.7219000000000002</c:v>
                </c:pt>
                <c:pt idx="3">
                  <c:v>2.7376999999999998</c:v>
                </c:pt>
                <c:pt idx="4">
                  <c:v>3.2791000000000001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C-4B0E-87A2-526A9972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77848"/>
        <c:axId val="808475688"/>
      </c:barChart>
      <c:catAx>
        <c:axId val="80847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Areas of 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5688"/>
        <c:crosses val="autoZero"/>
        <c:auto val="1"/>
        <c:lblAlgn val="ctr"/>
        <c:lblOffset val="100"/>
        <c:noMultiLvlLbl val="0"/>
      </c:catAx>
      <c:valAx>
        <c:axId val="8084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7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5734931039378"/>
          <c:y val="5.4056281685748796E-2"/>
          <c:w val="0.20770160274468311"/>
          <c:h val="6.37699219635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sz="1000" b="1" i="0" u="none" strike="noStrike" baseline="0">
                <a:solidFill>
                  <a:sysClr val="windowText" lastClr="000000"/>
                </a:solidFill>
                <a:effectLst/>
              </a:rPr>
              <a:t>Fig. 2:</a:t>
            </a:r>
            <a:r>
              <a:rPr lang="es-PE" sz="1000" b="0" i="0" u="none" strike="noStrike" baseline="0">
                <a:solidFill>
                  <a:sysClr val="windowText" lastClr="000000"/>
                </a:solidFill>
                <a:effectLst/>
              </a:rPr>
              <a:t> Strain from Parents during the Covid-19 Pandemic </a:t>
            </a:r>
            <a:r>
              <a:rPr lang="es-PE" sz="1000" b="1" i="0" u="none" strike="noStrike" baseline="0">
                <a:solidFill>
                  <a:sysClr val="windowText" lastClr="000000"/>
                </a:solidFill>
                <a:effectLst/>
              </a:rPr>
              <a:t>(with Child in Kita)</a:t>
            </a:r>
            <a:endParaRPr lang="es-PE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2458259471492764E-2"/>
          <c:y val="0.8985243717302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'Abb2.'!$C$4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'Abb2.'!$C$5:$C$9</c:f>
              <c:numCache>
                <c:formatCode>0.00%</c:formatCode>
                <c:ptCount val="5"/>
                <c:pt idx="0">
                  <c:v>0.57689999999999997</c:v>
                </c:pt>
                <c:pt idx="1">
                  <c:v>0.6502</c:v>
                </c:pt>
                <c:pt idx="2">
                  <c:v>0.3876</c:v>
                </c:pt>
                <c:pt idx="3">
                  <c:v>0.44629999999999997</c:v>
                </c:pt>
                <c:pt idx="4">
                  <c:v>0.6411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A-48FC-876F-C5F48A6E060F}"/>
            </c:ext>
          </c:extLst>
        </c:ser>
        <c:ser>
          <c:idx val="1"/>
          <c:order val="1"/>
          <c:tx>
            <c:strRef>
              <c:f>'Abb2.'!$D$4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'Abb2.'!$D$5:$D$9</c:f>
              <c:numCache>
                <c:formatCode>0.00%</c:formatCode>
                <c:ptCount val="5"/>
                <c:pt idx="0">
                  <c:v>0.49270000000000003</c:v>
                </c:pt>
                <c:pt idx="1">
                  <c:v>0.6371</c:v>
                </c:pt>
                <c:pt idx="2">
                  <c:v>0.3523</c:v>
                </c:pt>
                <c:pt idx="3">
                  <c:v>0.34799999999999998</c:v>
                </c:pt>
                <c:pt idx="4">
                  <c:v>0.51090000000000002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A-48FC-876F-C5F48A6E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77848"/>
        <c:axId val="808475688"/>
      </c:barChart>
      <c:catAx>
        <c:axId val="80847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Areas of 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5688"/>
        <c:crosses val="autoZero"/>
        <c:auto val="1"/>
        <c:lblAlgn val="ctr"/>
        <c:lblOffset val="100"/>
        <c:noMultiLvlLbl val="0"/>
      </c:catAx>
      <c:valAx>
        <c:axId val="8084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Very Strongly Affected </a:t>
                </a:r>
                <a:r>
                  <a:rPr lang="es-PE" baseline="0"/>
                  <a:t>(in %)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5734931039378"/>
          <c:y val="5.4056281685748796E-2"/>
          <c:w val="0.20770160274468311"/>
          <c:h val="6.37699219635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'Abb3.'!$C$4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'Abb3.'!$C$5:$C$9</c:f>
              <c:numCache>
                <c:formatCode>0.00%</c:formatCode>
                <c:ptCount val="5"/>
                <c:pt idx="0">
                  <c:v>0.61180000000000001</c:v>
                </c:pt>
                <c:pt idx="1">
                  <c:v>0.7298</c:v>
                </c:pt>
                <c:pt idx="2">
                  <c:v>0.42799999999999999</c:v>
                </c:pt>
                <c:pt idx="3">
                  <c:v>0.42480000000000001</c:v>
                </c:pt>
                <c:pt idx="4">
                  <c:v>0.71099999999999997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B-4D88-9D5C-372673B3E064}"/>
            </c:ext>
          </c:extLst>
        </c:ser>
        <c:ser>
          <c:idx val="1"/>
          <c:order val="1"/>
          <c:tx>
            <c:strRef>
              <c:f>'Abb3.'!$D$4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'Abb3.'!$D$5:$D$9</c:f>
              <c:numCache>
                <c:formatCode>0.00%</c:formatCode>
                <c:ptCount val="5"/>
                <c:pt idx="0">
                  <c:v>0.37509999999999999</c:v>
                </c:pt>
                <c:pt idx="1">
                  <c:v>0.6331</c:v>
                </c:pt>
                <c:pt idx="2">
                  <c:v>0.24179999999999999</c:v>
                </c:pt>
                <c:pt idx="3">
                  <c:v>0.27129999999999999</c:v>
                </c:pt>
                <c:pt idx="4">
                  <c:v>0.41070000000000001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B-4D88-9D5C-372673B3E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77848"/>
        <c:axId val="808475688"/>
      </c:barChart>
      <c:catAx>
        <c:axId val="80847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Areas of</a:t>
                </a:r>
                <a:r>
                  <a:rPr lang="es-PE" baseline="0"/>
                  <a:t> Life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5688"/>
        <c:crosses val="autoZero"/>
        <c:auto val="1"/>
        <c:lblAlgn val="ctr"/>
        <c:lblOffset val="100"/>
        <c:noMultiLvlLbl val="0"/>
      </c:catAx>
      <c:valAx>
        <c:axId val="8084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Very Strongly Affected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78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5734931039378"/>
          <c:y val="5.4056281685748796E-2"/>
          <c:w val="0.20770160274468311"/>
          <c:h val="6.37699219635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'Abb4.'!$C$4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'Abb4.'!$C$5:$C$9</c:f>
              <c:numCache>
                <c:formatCode>0.00%</c:formatCode>
                <c:ptCount val="5"/>
                <c:pt idx="0">
                  <c:v>0.48149999999999998</c:v>
                </c:pt>
                <c:pt idx="1">
                  <c:v>0.43240000000000001</c:v>
                </c:pt>
                <c:pt idx="2">
                  <c:v>0.34799999999999998</c:v>
                </c:pt>
                <c:pt idx="3">
                  <c:v>0.3039</c:v>
                </c:pt>
                <c:pt idx="4">
                  <c:v>0.44900000000000001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1-4308-9A9B-088F3973B787}"/>
            </c:ext>
          </c:extLst>
        </c:ser>
        <c:ser>
          <c:idx val="1"/>
          <c:order val="1"/>
          <c:tx>
            <c:strRef>
              <c:f>'Abb4.'!$D$4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'Abb4.'!$D$5:$D$9</c:f>
              <c:numCache>
                <c:formatCode>0.00%</c:formatCode>
                <c:ptCount val="5"/>
                <c:pt idx="0">
                  <c:v>0.36599999999999999</c:v>
                </c:pt>
                <c:pt idx="1">
                  <c:v>0.42480000000000001</c:v>
                </c:pt>
                <c:pt idx="2">
                  <c:v>0.28139999999999998</c:v>
                </c:pt>
                <c:pt idx="3">
                  <c:v>0.29580000000000001</c:v>
                </c:pt>
                <c:pt idx="4">
                  <c:v>0.44479999999999997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1-4308-9A9B-088F3973B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77848"/>
        <c:axId val="808475688"/>
      </c:barChart>
      <c:catAx>
        <c:axId val="80847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Areas of 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5688"/>
        <c:crosses val="autoZero"/>
        <c:auto val="1"/>
        <c:lblAlgn val="ctr"/>
        <c:lblOffset val="100"/>
        <c:noMultiLvlLbl val="0"/>
      </c:catAx>
      <c:valAx>
        <c:axId val="8084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Very Strongly Affected (in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78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5734931039378"/>
          <c:y val="5.4056281685748796E-2"/>
          <c:w val="0.20770160274468311"/>
          <c:h val="6.37699219635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9947231726924"/>
          <c:y val="8.6915433455389851E-2"/>
          <c:w val="0.86400425077755338"/>
          <c:h val="0.65884398010198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Abb.5!$C$4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Abb.5!$C$5:$C$9</c:f>
              <c:numCache>
                <c:formatCode>0.00%</c:formatCode>
                <c:ptCount val="5"/>
                <c:pt idx="0">
                  <c:v>0.44169999999999998</c:v>
                </c:pt>
                <c:pt idx="1">
                  <c:v>0.19670000000000001</c:v>
                </c:pt>
                <c:pt idx="2">
                  <c:v>0.26329999999999998</c:v>
                </c:pt>
                <c:pt idx="3">
                  <c:v>0.26910000000000001</c:v>
                </c:pt>
                <c:pt idx="4">
                  <c:v>0.44550000000000001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3-4F61-8E42-12E42031D1D9}"/>
            </c:ext>
          </c:extLst>
        </c:ser>
        <c:ser>
          <c:idx val="1"/>
          <c:order val="1"/>
          <c:tx>
            <c:strRef>
              <c:f>Abb.5!$D$4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'Abb1.'!$B$5:$B$9</c:f>
              <c:strCache>
                <c:ptCount val="5"/>
                <c:pt idx="0">
                  <c:v>Work</c:v>
                </c:pt>
                <c:pt idx="1">
                  <c:v>Child Care</c:v>
                </c:pt>
                <c:pt idx="2">
                  <c:v>Finance</c:v>
                </c:pt>
                <c:pt idx="3">
                  <c:v>Family</c:v>
                </c:pt>
                <c:pt idx="4">
                  <c:v>Overall</c:v>
                </c:pt>
              </c:strCache>
            </c:strRef>
          </c:cat>
          <c:val>
            <c:numRef>
              <c:f>Abb.5!$D$5:$D$9</c:f>
              <c:numCache>
                <c:formatCode>0.00%</c:formatCode>
                <c:ptCount val="5"/>
                <c:pt idx="0">
                  <c:v>0.38319999999999999</c:v>
                </c:pt>
                <c:pt idx="1">
                  <c:v>0.25059999999999999</c:v>
                </c:pt>
                <c:pt idx="2">
                  <c:v>0.23680000000000001</c:v>
                </c:pt>
                <c:pt idx="3">
                  <c:v>0.19980000000000001</c:v>
                </c:pt>
                <c:pt idx="4">
                  <c:v>0.37740000000000001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3-4F61-8E42-12E42031D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77848"/>
        <c:axId val="808475688"/>
      </c:barChart>
      <c:catAx>
        <c:axId val="80847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Areas of 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5688"/>
        <c:crosses val="autoZero"/>
        <c:auto val="1"/>
        <c:lblAlgn val="ctr"/>
        <c:lblOffset val="100"/>
        <c:noMultiLvlLbl val="0"/>
      </c:catAx>
      <c:valAx>
        <c:axId val="8084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Very Strongly Affected (in %)</a:t>
                </a:r>
              </a:p>
            </c:rich>
          </c:tx>
          <c:layout>
            <c:manualLayout>
              <c:xMode val="edge"/>
              <c:yMode val="edge"/>
              <c:x val="1.9459601476587346E-2"/>
              <c:y val="0.18237578355843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84778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37654651807273"/>
          <c:y val="2.760375846019535E-2"/>
          <c:w val="0.20770160274468311"/>
          <c:h val="6.37699219635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'Abb. 6'!$E$4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'Abb. 6'!$B$5:$B$9</c:f>
              <c:strCache>
                <c:ptCount val="5"/>
                <c:pt idx="0">
                  <c:v>Overall</c:v>
                </c:pt>
                <c:pt idx="1">
                  <c:v>Child in Kita</c:v>
                </c:pt>
                <c:pt idx="2">
                  <c:v>Child in Primary School</c:v>
                </c:pt>
                <c:pt idx="3">
                  <c:v>Child in Secundary School</c:v>
                </c:pt>
                <c:pt idx="4">
                  <c:v>No Children under 16yo</c:v>
                </c:pt>
              </c:strCache>
            </c:strRef>
          </c:cat>
          <c:val>
            <c:numRef>
              <c:f>'Abb. 6'!$E$5:$E$9</c:f>
              <c:numCache>
                <c:formatCode>General</c:formatCode>
                <c:ptCount val="5"/>
                <c:pt idx="0">
                  <c:v>8.5204000000000004</c:v>
                </c:pt>
                <c:pt idx="1">
                  <c:v>8.1807999999999996</c:v>
                </c:pt>
                <c:pt idx="2">
                  <c:v>9.2134</c:v>
                </c:pt>
                <c:pt idx="3">
                  <c:v>8.6065000000000005</c:v>
                </c:pt>
                <c:pt idx="4">
                  <c:v>7.9837999999999996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3-42E4-9A2C-2E0DA66E5AD8}"/>
            </c:ext>
          </c:extLst>
        </c:ser>
        <c:ser>
          <c:idx val="3"/>
          <c:order val="3"/>
          <c:tx>
            <c:strRef>
              <c:f>'Abb. 6'!$F$4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'Abb. 6'!$B$5:$B$9</c:f>
              <c:strCache>
                <c:ptCount val="5"/>
                <c:pt idx="0">
                  <c:v>Overall</c:v>
                </c:pt>
                <c:pt idx="1">
                  <c:v>Child in Kita</c:v>
                </c:pt>
                <c:pt idx="2">
                  <c:v>Child in Primary School</c:v>
                </c:pt>
                <c:pt idx="3">
                  <c:v>Child in Secundary School</c:v>
                </c:pt>
                <c:pt idx="4">
                  <c:v>No Children under 16yo</c:v>
                </c:pt>
              </c:strCache>
            </c:strRef>
          </c:cat>
          <c:val>
            <c:numRef>
              <c:f>'Abb. 6'!$F$5:$F$9</c:f>
              <c:numCache>
                <c:formatCode>General</c:formatCode>
                <c:ptCount val="5"/>
                <c:pt idx="0">
                  <c:v>8.1824999999999992</c:v>
                </c:pt>
                <c:pt idx="1">
                  <c:v>8.1297999999999995</c:v>
                </c:pt>
                <c:pt idx="2">
                  <c:v>8.5805000000000007</c:v>
                </c:pt>
                <c:pt idx="3">
                  <c:v>7.9371</c:v>
                </c:pt>
                <c:pt idx="4">
                  <c:v>7.6291000000000002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B3-42E4-9A2C-2E0DA66E5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'Abb. 6'!$C$4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'Abb. 6'!$B$5:$B$9</c15:sqref>
                        </c15:formulaRef>
                      </c:ext>
                    </c:extLst>
                    <c:strCache>
                      <c:ptCount val="5"/>
                      <c:pt idx="0">
                        <c:v>Overall</c:v>
                      </c:pt>
                      <c:pt idx="1">
                        <c:v>Child in Kita</c:v>
                      </c:pt>
                      <c:pt idx="2">
                        <c:v>Child in Primary School</c:v>
                      </c:pt>
                      <c:pt idx="3">
                        <c:v>Child in Secundary School</c:v>
                      </c:pt>
                      <c:pt idx="4">
                        <c:v>No Children under 16yo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'Abb. 6'!$C$5:$C$9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B3-42E4-9A2C-2E0DA66E5AD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'Abb. 6'!$D$4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'Abb. 6'!$B$5:$B$9</c15:sqref>
                        </c15:formulaRef>
                      </c:ext>
                    </c:extLst>
                    <c:strCache>
                      <c:ptCount val="5"/>
                      <c:pt idx="0">
                        <c:v>Overall</c:v>
                      </c:pt>
                      <c:pt idx="1">
                        <c:v>Child in Kita</c:v>
                      </c:pt>
                      <c:pt idx="2">
                        <c:v>Child in Primary School</c:v>
                      </c:pt>
                      <c:pt idx="3">
                        <c:v>Child in Secundary School</c:v>
                      </c:pt>
                      <c:pt idx="4">
                        <c:v>No Children under 16yo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'Abb. 6'!$D$5:$D$9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0B3-42E4-9A2C-2E0DA66E5AD8}"/>
                  </c:ext>
                </c:extLst>
              </c15:ser>
            </c15:filteredBarSeries>
          </c:ext>
        </c:extLst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'Abb7.'!$E$4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'Abb7.'!$E$5:$E$8</c:f>
              <c:numCache>
                <c:formatCode>0.00%</c:formatCode>
                <c:ptCount val="4"/>
                <c:pt idx="0">
                  <c:v>0.57689999999999997</c:v>
                </c:pt>
                <c:pt idx="1">
                  <c:v>0.61180000000000001</c:v>
                </c:pt>
                <c:pt idx="2">
                  <c:v>0.48149999999999998</c:v>
                </c:pt>
                <c:pt idx="3">
                  <c:v>0.44169999999999998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51A-4F40-9352-C487CC45D2C4}"/>
            </c:ext>
          </c:extLst>
        </c:ser>
        <c:ser>
          <c:idx val="1"/>
          <c:order val="1"/>
          <c:tx>
            <c:strRef>
              <c:f>'Abb7.'!$F$4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'Abb7.'!$F$5:$F$8</c:f>
              <c:numCache>
                <c:formatCode>0.00%</c:formatCode>
                <c:ptCount val="4"/>
                <c:pt idx="0">
                  <c:v>0.49270000000000003</c:v>
                </c:pt>
                <c:pt idx="1">
                  <c:v>0.37509999999999999</c:v>
                </c:pt>
                <c:pt idx="2">
                  <c:v>0.36599999999999999</c:v>
                </c:pt>
                <c:pt idx="3">
                  <c:v>0.38319999999999999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51A-4F40-9352-C487CC45D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/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'Abb8.'!$E$4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'Abb8.'!$E$5:$E$8</c:f>
              <c:numCache>
                <c:formatCode>0.00%</c:formatCode>
                <c:ptCount val="4"/>
                <c:pt idx="0">
                  <c:v>0.6502</c:v>
                </c:pt>
                <c:pt idx="1">
                  <c:v>0.7298</c:v>
                </c:pt>
                <c:pt idx="2">
                  <c:v>0.43240000000000001</c:v>
                </c:pt>
                <c:pt idx="3">
                  <c:v>0.19670000000000001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AF6-4F9C-B08C-E737A19888C6}"/>
            </c:ext>
          </c:extLst>
        </c:ser>
        <c:ser>
          <c:idx val="1"/>
          <c:order val="1"/>
          <c:tx>
            <c:strRef>
              <c:f>'Abb8.'!$F$4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'Abb8.'!$F$5:$F$8</c:f>
              <c:numCache>
                <c:formatCode>0.00%</c:formatCode>
                <c:ptCount val="4"/>
                <c:pt idx="0">
                  <c:v>0.6371</c:v>
                </c:pt>
                <c:pt idx="1">
                  <c:v>0.6331</c:v>
                </c:pt>
                <c:pt idx="2">
                  <c:v>0.42480000000000001</c:v>
                </c:pt>
                <c:pt idx="3">
                  <c:v>0.25059999999999999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AF6-4F9C-B08C-E737A1988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/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'Abb9.'!$E$4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'Abb9.'!$E$5:$E$8</c:f>
              <c:numCache>
                <c:formatCode>0.00%</c:formatCode>
                <c:ptCount val="4"/>
                <c:pt idx="0">
                  <c:v>0.3876</c:v>
                </c:pt>
                <c:pt idx="1">
                  <c:v>0.42799999999999999</c:v>
                </c:pt>
                <c:pt idx="2">
                  <c:v>0.34799999999999998</c:v>
                </c:pt>
                <c:pt idx="3">
                  <c:v>0.26329999999999998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465-4539-AE07-EFBE61DAE100}"/>
            </c:ext>
          </c:extLst>
        </c:ser>
        <c:ser>
          <c:idx val="1"/>
          <c:order val="1"/>
          <c:tx>
            <c:strRef>
              <c:f>'Abb9.'!$F$4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'Abb9.'!$F$5:$F$8</c:f>
              <c:numCache>
                <c:formatCode>0.00%</c:formatCode>
                <c:ptCount val="4"/>
                <c:pt idx="0">
                  <c:v>0.3523</c:v>
                </c:pt>
                <c:pt idx="1">
                  <c:v>0.24179999999999999</c:v>
                </c:pt>
                <c:pt idx="2">
                  <c:v>0.28139999999999998</c:v>
                </c:pt>
                <c:pt idx="3">
                  <c:v>0.23680000000000001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465-4539-AE07-EFBE61DA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/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'Abb10.'!$E$4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'Abb10.'!$E$5:$E$8</c:f>
              <c:numCache>
                <c:formatCode>0.00%</c:formatCode>
                <c:ptCount val="4"/>
                <c:pt idx="0">
                  <c:v>0.44629999999999997</c:v>
                </c:pt>
                <c:pt idx="1">
                  <c:v>0.42480000000000001</c:v>
                </c:pt>
                <c:pt idx="2">
                  <c:v>0.3039</c:v>
                </c:pt>
                <c:pt idx="3">
                  <c:v>0.26910000000000001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6C8-42DB-9CE9-25C9C966229A}"/>
            </c:ext>
          </c:extLst>
        </c:ser>
        <c:ser>
          <c:idx val="1"/>
          <c:order val="1"/>
          <c:tx>
            <c:strRef>
              <c:f>'Abb10.'!$F$4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'Abb10.'!$F$5:$F$8</c:f>
              <c:numCache>
                <c:formatCode>0.00%</c:formatCode>
                <c:ptCount val="4"/>
                <c:pt idx="0">
                  <c:v>0.34799999999999998</c:v>
                </c:pt>
                <c:pt idx="1">
                  <c:v>0.27129999999999999</c:v>
                </c:pt>
                <c:pt idx="2">
                  <c:v>0.29580000000000001</c:v>
                </c:pt>
                <c:pt idx="3">
                  <c:v>0.19980000000000001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6C8-42DB-9CE9-25C9C966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/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33544538013735"/>
          <c:y val="0.1992840906155143"/>
          <c:w val="0.65325665955567713"/>
          <c:h val="0.655398998441303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'Abb11.'!$E$4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'Abb11.'!$E$5:$E$8</c:f>
              <c:numCache>
                <c:formatCode>0.00%</c:formatCode>
                <c:ptCount val="4"/>
                <c:pt idx="0">
                  <c:v>0.6411</c:v>
                </c:pt>
                <c:pt idx="1">
                  <c:v>0.71099999999999997</c:v>
                </c:pt>
                <c:pt idx="2">
                  <c:v>0.44900000000000001</c:v>
                </c:pt>
                <c:pt idx="3">
                  <c:v>0.44550000000000001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E18-4677-8BEB-FAB0EFCB53F9}"/>
            </c:ext>
          </c:extLst>
        </c:ser>
        <c:ser>
          <c:idx val="1"/>
          <c:order val="1"/>
          <c:tx>
            <c:strRef>
              <c:f>'Abb11.'!$F$4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'Abb7.'!$B$5:$D$9</c:f>
              <c:strCache>
                <c:ptCount val="4"/>
                <c:pt idx="0">
                  <c:v>with Child in Kita</c:v>
                </c:pt>
                <c:pt idx="1">
                  <c:v>with Child in Primary School</c:v>
                </c:pt>
                <c:pt idx="2">
                  <c:v>with Child in Secundary School</c:v>
                </c:pt>
                <c:pt idx="3">
                  <c:v>w/o Children under 16yo</c:v>
                </c:pt>
              </c:strCache>
            </c:strRef>
          </c:cat>
          <c:val>
            <c:numRef>
              <c:f>'Abb11.'!$F$5:$F$8</c:f>
              <c:numCache>
                <c:formatCode>0.00%</c:formatCode>
                <c:ptCount val="4"/>
                <c:pt idx="0">
                  <c:v>0.51090000000000002</c:v>
                </c:pt>
                <c:pt idx="1">
                  <c:v>0.41070000000000001</c:v>
                </c:pt>
                <c:pt idx="2">
                  <c:v>0.44479999999999997</c:v>
                </c:pt>
                <c:pt idx="3">
                  <c:v>0.37740000000000001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E18-4677-8BEB-FAB0EFCB5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249424"/>
        <c:axId val="491250504"/>
        <c:extLst/>
      </c:barChart>
      <c:catAx>
        <c:axId val="491249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50504"/>
        <c:crosses val="autoZero"/>
        <c:auto val="1"/>
        <c:lblAlgn val="ctr"/>
        <c:lblOffset val="100"/>
        <c:noMultiLvlLbl val="0"/>
      </c:catAx>
      <c:valAx>
        <c:axId val="4912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1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441780587620655"/>
          <c:y val="4.5716328800346248E-2"/>
          <c:w val="0.2203264550577172"/>
          <c:h val="6.835489790014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288924</xdr:colOff>
      <xdr:row>1</xdr:row>
      <xdr:rowOff>11112</xdr:rowOff>
    </xdr:from>
    <xdr:to>
      <xdr:col>9</xdr:col>
      <xdr:colOff>641349</xdr:colOff>
      <xdr:row>19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49DFFE-886B-4E7D-3C4C-C68EFD092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0</xdr:row>
      <xdr:rowOff>180975</xdr:rowOff>
    </xdr:from>
    <xdr:to>
      <xdr:col>11</xdr:col>
      <xdr:colOff>222250</xdr:colOff>
      <xdr:row>18</xdr:row>
      <xdr:rowOff>169863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FC926E-DAB9-485E-9D79-2A75D32BB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</xdr:row>
      <xdr:rowOff>19050</xdr:rowOff>
    </xdr:from>
    <xdr:to>
      <xdr:col>11</xdr:col>
      <xdr:colOff>190500</xdr:colOff>
      <xdr:row>19</xdr:row>
      <xdr:rowOff>7938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D6A171-5D9B-447C-9A5C-F1821FA62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0.00034</cdr:x>
      <cdr:y>0.89306</cdr:y>
    </cdr:from>
    <cdr:to>
      <cdr:x>0.98255</cdr:x>
      <cdr:y>0.97435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F44923F6-1138-443D-960E-2094FF0E3832}"/>
            </a:ext>
          </a:extLst>
        </cdr:cNvPr>
        <cdr:cNvSpPr txBox="1"/>
      </cdr:nvSpPr>
      <cdr:spPr>
        <a:xfrm xmlns:a="http://schemas.openxmlformats.org/drawingml/2006/main">
          <a:off x="1855" y="3001341"/>
          <a:ext cx="5360719" cy="2731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3: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Strain from Parents during the Covid-19 Pandemic </a:t>
          </a:r>
          <a:r>
            <a:rPr lang="es-PE" sz="1100" b="1" i="0" baseline="0">
              <a:effectLst/>
              <a:latin typeface="+mn-lt"/>
              <a:ea typeface="+mn-ea"/>
              <a:cs typeface="+mn-cs"/>
            </a:rPr>
            <a:t>(with Child in Primary School) School)</a:t>
          </a:r>
          <a:endParaRPr lang="de-DE">
            <a:effectLst/>
          </a:endParaRPr>
        </a:p>
        <a:p xmlns:a="http://schemas.openxmlformats.org/drawingml/2006/main">
          <a:endParaRPr lang="de-DE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12700</xdr:rowOff>
    </xdr:from>
    <xdr:to>
      <xdr:col>11</xdr:col>
      <xdr:colOff>200025</xdr:colOff>
      <xdr:row>19</xdr:row>
      <xdr:rowOff>1588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03525C-4360-47D9-969E-78635DE9D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0.88619</cdr:y>
    </cdr:from>
    <cdr:to>
      <cdr:x>1</cdr:x>
      <cdr:y>1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F4BE2622-9756-4747-B342-1EBFD3B2CF05}"/>
            </a:ext>
          </a:extLst>
        </cdr:cNvPr>
        <cdr:cNvSpPr txBox="1"/>
      </cdr:nvSpPr>
      <cdr:spPr>
        <a:xfrm xmlns:a="http://schemas.openxmlformats.org/drawingml/2006/main">
          <a:off x="0" y="2978252"/>
          <a:ext cx="5457825" cy="382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4: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Strain from Parents during the Covid-19 Pandemic </a:t>
          </a:r>
          <a:r>
            <a:rPr lang="es-PE" sz="1100" b="1" i="0" baseline="0">
              <a:effectLst/>
              <a:latin typeface="+mn-lt"/>
              <a:ea typeface="+mn-ea"/>
              <a:cs typeface="+mn-cs"/>
            </a:rPr>
            <a:t>(with Child in Secondary School)</a:t>
          </a:r>
          <a:endParaRPr lang="de-DE">
            <a:effectLst/>
          </a:endParaRPr>
        </a:p>
        <a:p xmlns:a="http://schemas.openxmlformats.org/drawingml/2006/main">
          <a:endParaRPr lang="de-DE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0</xdr:rowOff>
    </xdr:from>
    <xdr:to>
      <xdr:col>11</xdr:col>
      <xdr:colOff>228600</xdr:colOff>
      <xdr:row>18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EE535-97AD-45B5-B535-24A438308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0.89561</cdr:y>
    </cdr:from>
    <cdr:to>
      <cdr:x>0.98837</cdr:x>
      <cdr:y>0.97307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B8BCA81D-CD6D-C39D-335C-1818B98E3A54}"/>
            </a:ext>
          </a:extLst>
        </cdr:cNvPr>
        <cdr:cNvSpPr txBox="1"/>
      </cdr:nvSpPr>
      <cdr:spPr>
        <a:xfrm xmlns:a="http://schemas.openxmlformats.org/drawingml/2006/main">
          <a:off x="0" y="3009900"/>
          <a:ext cx="5394324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5: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Strain from Parents during the Covid-19 Pandemic </a:t>
          </a:r>
          <a:r>
            <a:rPr lang="es-PE" sz="1100" b="1" i="0" baseline="0">
              <a:effectLst/>
              <a:latin typeface="+mn-lt"/>
              <a:ea typeface="+mn-ea"/>
              <a:cs typeface="+mn-cs"/>
            </a:rPr>
            <a:t>(w/o Child under 16yo)</a:t>
          </a:r>
          <a:endParaRPr lang="es-PE" sz="1100">
            <a:effectLst/>
          </a:endParaRPr>
        </a:p>
        <a:p xmlns:a="http://schemas.openxmlformats.org/drawingml/2006/main">
          <a:endParaRPr lang="es-PE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96836</xdr:colOff>
      <xdr:row>1</xdr:row>
      <xdr:rowOff>33336</xdr:rowOff>
    </xdr:from>
    <xdr:to>
      <xdr:col>13</xdr:col>
      <xdr:colOff>342899</xdr:colOff>
      <xdr:row>17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2E236C-E596-4A4D-234E-5F57445E2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0.89772</cdr:y>
    </cdr:from>
    <cdr:to>
      <cdr:x>1</cdr:x>
      <cdr:y>0.97975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814633"/>
          <a:ext cx="5580063" cy="257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000" b="1" i="0" baseline="0">
              <a:effectLst/>
              <a:latin typeface="+mn-lt"/>
              <a:ea typeface="+mn-ea"/>
              <a:cs typeface="+mn-cs"/>
            </a:rPr>
            <a:t>Fig. 6:</a:t>
          </a:r>
          <a:r>
            <a:rPr lang="es-PE" sz="1000" b="0" i="0" baseline="0">
              <a:effectLst/>
              <a:latin typeface="+mn-lt"/>
              <a:ea typeface="+mn-ea"/>
              <a:cs typeface="+mn-cs"/>
            </a:rPr>
            <a:t> Parents' Average Strain due to Child Care and School Closures during the Covid-19 Pandemic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es-PE" sz="1000">
            <a:effectLst/>
          </a:endParaRPr>
        </a:p>
        <a:p xmlns:a="http://schemas.openxmlformats.org/drawingml/2006/main">
          <a:endParaRPr lang="es-PE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73660</xdr:colOff>
      <xdr:row>1</xdr:row>
      <xdr:rowOff>15240</xdr:rowOff>
    </xdr:from>
    <xdr:to>
      <xdr:col>12</xdr:col>
      <xdr:colOff>646748</xdr:colOff>
      <xdr:row>17</xdr:row>
      <xdr:rowOff>158750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4EB2CF69-2B4E-4D0F-BEBB-BE33F8389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0.88577</cdr:y>
    </cdr:from>
    <cdr:to>
      <cdr:x>0.97295</cdr:x>
      <cdr:y>0.97503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781934"/>
          <a:ext cx="5005913" cy="280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7: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Parents' Share with Great Work Strain during the Covid-19 Pandemic</a:t>
          </a:r>
          <a:endParaRPr lang="es-PE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98425</xdr:colOff>
      <xdr:row>1</xdr:row>
      <xdr:rowOff>3175</xdr:rowOff>
    </xdr:from>
    <xdr:to>
      <xdr:col>12</xdr:col>
      <xdr:colOff>671513</xdr:colOff>
      <xdr:row>17</xdr:row>
      <xdr:rowOff>146685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5C7A5D2-6719-4934-BEE2-2A6D55992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0.88577</cdr:y>
    </cdr:from>
    <cdr:to>
      <cdr:x>0.97295</cdr:x>
      <cdr:y>0.97503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781934"/>
          <a:ext cx="5005913" cy="280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8: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Parents' Share with Great Child Care Strain during the Covid-19 Pandemic</a:t>
          </a:r>
          <a:endParaRPr lang="es-PE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111125</xdr:colOff>
      <xdr:row>1</xdr:row>
      <xdr:rowOff>12700</xdr:rowOff>
    </xdr:from>
    <xdr:to>
      <xdr:col>12</xdr:col>
      <xdr:colOff>684213</xdr:colOff>
      <xdr:row>17</xdr:row>
      <xdr:rowOff>156210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EC84E7F-9950-441C-937E-73D900CE5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0.88577</cdr:y>
    </cdr:from>
    <cdr:to>
      <cdr:x>0.97295</cdr:x>
      <cdr:y>0.97503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781934"/>
          <a:ext cx="5005913" cy="280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9: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Parents' Share with Great Finance Strain during the Covid-19 Pandemic</a:t>
          </a:r>
          <a:endParaRPr lang="es-PE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</xdr:row>
      <xdr:rowOff>25400</xdr:rowOff>
    </xdr:from>
    <xdr:to>
      <xdr:col>12</xdr:col>
      <xdr:colOff>677863</xdr:colOff>
      <xdr:row>17</xdr:row>
      <xdr:rowOff>168910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1BA2B717-0DF5-4270-BD59-37294C6A9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0.88577</cdr:y>
    </cdr:from>
    <cdr:to>
      <cdr:x>0.97295</cdr:x>
      <cdr:y>0.97503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781934"/>
          <a:ext cx="5005913" cy="280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10: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Parents' Share with Great Family Strain during the Covid-19 Pandemic</a:t>
          </a:r>
          <a:endParaRPr lang="es-PE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</xdr:colOff>
      <xdr:row>1</xdr:row>
      <xdr:rowOff>38100</xdr:rowOff>
    </xdr:from>
    <xdr:to>
      <xdr:col>12</xdr:col>
      <xdr:colOff>652463</xdr:colOff>
      <xdr:row>17</xdr:row>
      <xdr:rowOff>181610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69033565-7020-4D14-B89E-58F212CDA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0.02252</cdr:x>
      <cdr:y>0.89266</cdr:y>
    </cdr:from>
    <cdr:to>
      <cdr:x>0.85437</cdr:x>
      <cdr:y>0.96861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6F47A47-FA1F-5454-605A-4EC018A1BD90}"/>
            </a:ext>
          </a:extLst>
        </cdr:cNvPr>
        <cdr:cNvSpPr txBox="1"/>
      </cdr:nvSpPr>
      <cdr:spPr>
        <a:xfrm xmlns:a="http://schemas.openxmlformats.org/drawingml/2006/main">
          <a:off x="115888" y="2798764"/>
          <a:ext cx="42799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  <cdr:relSizeAnchor xmlns:cdr="http://schemas.openxmlformats.org/drawingml/2006/chartDrawing">
    <cdr:from>
      <cdr:x>0</cdr:x>
      <cdr:y>0.88577</cdr:y>
    </cdr:from>
    <cdr:to>
      <cdr:x>0.97295</cdr:x>
      <cdr:y>0.97503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83421DA6-5879-FCB4-9D67-0DF0A57D1024}"/>
            </a:ext>
          </a:extLst>
        </cdr:cNvPr>
        <cdr:cNvSpPr txBox="1"/>
      </cdr:nvSpPr>
      <cdr:spPr>
        <a:xfrm xmlns:a="http://schemas.openxmlformats.org/drawingml/2006/main">
          <a:off x="0" y="2781934"/>
          <a:ext cx="5005913" cy="280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Fig. 11:</a:t>
          </a:r>
          <a:r>
            <a:rPr lang="es-PE" sz="1100" b="0" i="0" baseline="0">
              <a:effectLst/>
              <a:latin typeface="+mn-lt"/>
              <a:ea typeface="+mn-ea"/>
              <a:cs typeface="+mn-cs"/>
            </a:rPr>
            <a:t> Overall Parents' Share with Great Strain during the Covid-19 Pandemic</a:t>
          </a:r>
          <a:endParaRPr lang="es-PE" sz="11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9BED-4B90-47A3-9589-702137CC34DC}">
  <dimension ref="B2:R10"/>
  <sheetViews>
    <sheetView tabSelected="1" workbookViewId="0">
      <selection activeCell="B4" sqref="B4"/>
    </sheetView>
  </sheetViews>
  <sheetFormatPr defaultColWidth="10.6640625" defaultRowHeight="14.25" x14ac:dyDescent="0.45"/>
  <cols>
    <col min="2" max="2" width="17.796875" customWidth="1"/>
    <col min="6" max="6" width="29.46484375" bestFit="1" customWidth="1"/>
    <col min="10" max="10" width="29.46484375" bestFit="1" customWidth="1"/>
    <col min="14" max="14" width="29.46484375" bestFit="1" customWidth="1"/>
    <col min="18" max="18" width="29.46484375" bestFit="1" customWidth="1"/>
  </cols>
  <sheetData>
    <row r="2" spans="2:18" x14ac:dyDescent="0.45">
      <c r="B2" s="7" t="s">
        <v>0</v>
      </c>
      <c r="C2" s="7"/>
      <c r="D2" s="7"/>
    </row>
    <row r="3" spans="2:18" x14ac:dyDescent="0.45">
      <c r="C3" s="7"/>
      <c r="D3" s="7"/>
    </row>
    <row r="4" spans="2:18" x14ac:dyDescent="0.45">
      <c r="B4" s="2" t="s">
        <v>26</v>
      </c>
      <c r="C4" s="1" t="s">
        <v>11</v>
      </c>
      <c r="D4" s="1" t="s">
        <v>12</v>
      </c>
    </row>
    <row r="5" spans="2:18" x14ac:dyDescent="0.45">
      <c r="B5" s="2" t="s">
        <v>6</v>
      </c>
      <c r="C5" s="2">
        <v>3.3536000000000001</v>
      </c>
      <c r="D5" s="3">
        <v>3.1707999999999998</v>
      </c>
    </row>
    <row r="6" spans="2:18" x14ac:dyDescent="0.45">
      <c r="B6" s="2" t="s">
        <v>7</v>
      </c>
      <c r="C6" s="2">
        <v>3.5773000000000001</v>
      </c>
      <c r="D6" s="3">
        <v>3.4809000000000001</v>
      </c>
    </row>
    <row r="7" spans="2:18" x14ac:dyDescent="0.45">
      <c r="B7" s="2" t="s">
        <v>8</v>
      </c>
      <c r="C7" s="2">
        <v>2.8426</v>
      </c>
      <c r="D7" s="3">
        <v>2.7219000000000002</v>
      </c>
    </row>
    <row r="8" spans="2:18" x14ac:dyDescent="0.45">
      <c r="B8" s="2" t="s">
        <v>9</v>
      </c>
      <c r="C8" s="2">
        <v>2.9123999999999999</v>
      </c>
      <c r="D8" s="3">
        <v>2.7376999999999998</v>
      </c>
    </row>
    <row r="9" spans="2:18" x14ac:dyDescent="0.45">
      <c r="B9" s="2" t="s">
        <v>10</v>
      </c>
      <c r="C9" s="2">
        <v>3.4754</v>
      </c>
      <c r="D9" s="3">
        <v>3.2791000000000001</v>
      </c>
    </row>
    <row r="10" spans="2:18" x14ac:dyDescent="0.45">
      <c r="B10" s="2"/>
      <c r="F10" s="2"/>
      <c r="J10" s="2"/>
      <c r="N10" s="2"/>
      <c r="R10" s="2"/>
    </row>
  </sheetData>
  <mergeCells count="2">
    <mergeCell ref="C3:D3"/>
    <mergeCell ref="B2:D2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517D-6227-43AD-9CC3-F3932CFCD39E}">
  <dimension ref="B2:D9"/>
  <sheetViews>
    <sheetView workbookViewId="0">
      <selection activeCell="C8" sqref="C8:D8"/>
    </sheetView>
  </sheetViews>
  <sheetFormatPr defaultColWidth="10.6640625" defaultRowHeight="14.25" x14ac:dyDescent="0.45"/>
  <cols>
    <col min="2" max="2" width="41.06640625" customWidth="1"/>
    <col min="3" max="4" width="10.86328125" customWidth="1"/>
  </cols>
  <sheetData>
    <row r="2" spans="2:4" x14ac:dyDescent="0.45">
      <c r="B2" s="7" t="s">
        <v>2</v>
      </c>
      <c r="C2" s="7"/>
      <c r="D2" s="7"/>
    </row>
    <row r="3" spans="2:4" x14ac:dyDescent="0.45">
      <c r="C3" s="7"/>
      <c r="D3" s="7"/>
    </row>
    <row r="4" spans="2:4" x14ac:dyDescent="0.45">
      <c r="B4" s="2"/>
      <c r="C4" s="1" t="s">
        <v>11</v>
      </c>
      <c r="D4" s="1" t="s">
        <v>12</v>
      </c>
    </row>
    <row r="5" spans="2:4" x14ac:dyDescent="0.45">
      <c r="B5" s="2" t="s">
        <v>6</v>
      </c>
      <c r="C5" s="5">
        <v>0.57689999999999997</v>
      </c>
      <c r="D5" s="5">
        <v>0.49270000000000003</v>
      </c>
    </row>
    <row r="6" spans="2:4" x14ac:dyDescent="0.45">
      <c r="B6" s="2" t="s">
        <v>7</v>
      </c>
      <c r="C6" s="5">
        <v>0.6502</v>
      </c>
      <c r="D6" s="5">
        <v>0.6371</v>
      </c>
    </row>
    <row r="7" spans="2:4" x14ac:dyDescent="0.45">
      <c r="B7" s="2" t="s">
        <v>8</v>
      </c>
      <c r="C7" s="5">
        <v>0.3876</v>
      </c>
      <c r="D7" s="5">
        <v>0.3523</v>
      </c>
    </row>
    <row r="8" spans="2:4" x14ac:dyDescent="0.45">
      <c r="B8" s="2" t="s">
        <v>9</v>
      </c>
      <c r="C8" s="5">
        <v>0.44629999999999997</v>
      </c>
      <c r="D8" s="5">
        <v>0.34799999999999998</v>
      </c>
    </row>
    <row r="9" spans="2:4" x14ac:dyDescent="0.45">
      <c r="B9" s="2" t="s">
        <v>10</v>
      </c>
      <c r="C9" s="5">
        <v>0.6411</v>
      </c>
      <c r="D9" s="5">
        <v>0.51090000000000002</v>
      </c>
    </row>
  </sheetData>
  <mergeCells count="2">
    <mergeCell ref="B2:D2"/>
    <mergeCell ref="C3:D3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D8BA-9A8B-4113-A1AE-4BEC06FCA53F}">
  <dimension ref="B2:D9"/>
  <sheetViews>
    <sheetView workbookViewId="0">
      <selection activeCell="C8" sqref="C7:D8"/>
    </sheetView>
  </sheetViews>
  <sheetFormatPr defaultColWidth="10.6640625" defaultRowHeight="14.25" x14ac:dyDescent="0.45"/>
  <cols>
    <col min="2" max="2" width="43.6640625" customWidth="1"/>
  </cols>
  <sheetData>
    <row r="2" spans="2:4" x14ac:dyDescent="0.45">
      <c r="B2" s="7" t="s">
        <v>3</v>
      </c>
      <c r="C2" s="7"/>
      <c r="D2" s="7"/>
    </row>
    <row r="3" spans="2:4" x14ac:dyDescent="0.45">
      <c r="C3" s="7"/>
      <c r="D3" s="7"/>
    </row>
    <row r="4" spans="2:4" x14ac:dyDescent="0.45">
      <c r="B4" s="2"/>
      <c r="C4" s="1" t="s">
        <v>11</v>
      </c>
      <c r="D4" s="1" t="s">
        <v>12</v>
      </c>
    </row>
    <row r="5" spans="2:4" x14ac:dyDescent="0.45">
      <c r="B5" s="2" t="s">
        <v>6</v>
      </c>
      <c r="C5" s="6">
        <v>0.61180000000000001</v>
      </c>
      <c r="D5" s="6">
        <v>0.37509999999999999</v>
      </c>
    </row>
    <row r="6" spans="2:4" x14ac:dyDescent="0.45">
      <c r="B6" s="2" t="s">
        <v>7</v>
      </c>
      <c r="C6" s="6">
        <v>0.7298</v>
      </c>
      <c r="D6" s="6">
        <v>0.6331</v>
      </c>
    </row>
    <row r="7" spans="2:4" x14ac:dyDescent="0.45">
      <c r="B7" s="2" t="s">
        <v>8</v>
      </c>
      <c r="C7" s="6">
        <v>0.42799999999999999</v>
      </c>
      <c r="D7" s="6">
        <v>0.24179999999999999</v>
      </c>
    </row>
    <row r="8" spans="2:4" x14ac:dyDescent="0.45">
      <c r="B8" s="2" t="s">
        <v>9</v>
      </c>
      <c r="C8" s="6">
        <v>0.42480000000000001</v>
      </c>
      <c r="D8" s="6">
        <v>0.27129999999999999</v>
      </c>
    </row>
    <row r="9" spans="2:4" x14ac:dyDescent="0.45">
      <c r="B9" s="2" t="s">
        <v>10</v>
      </c>
      <c r="C9" s="6">
        <v>0.71099999999999997</v>
      </c>
      <c r="D9" s="6">
        <v>0.41070000000000001</v>
      </c>
    </row>
  </sheetData>
  <mergeCells count="2">
    <mergeCell ref="B2:D2"/>
    <mergeCell ref="C3:D3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D1EC-CD47-404F-BAE8-C2D0CCA1C774}">
  <dimension ref="B2:D9"/>
  <sheetViews>
    <sheetView workbookViewId="0">
      <selection activeCell="C7" sqref="C7:D7"/>
    </sheetView>
  </sheetViews>
  <sheetFormatPr defaultColWidth="10.6640625" defaultRowHeight="14.25" x14ac:dyDescent="0.45"/>
  <cols>
    <col min="2" max="2" width="48.53125" customWidth="1"/>
  </cols>
  <sheetData>
    <row r="2" spans="2:4" x14ac:dyDescent="0.45">
      <c r="B2" s="7" t="s">
        <v>4</v>
      </c>
      <c r="C2" s="7"/>
      <c r="D2" s="7"/>
    </row>
    <row r="3" spans="2:4" x14ac:dyDescent="0.45">
      <c r="C3" s="7"/>
      <c r="D3" s="7"/>
    </row>
    <row r="4" spans="2:4" x14ac:dyDescent="0.45">
      <c r="B4" s="2"/>
      <c r="C4" s="1" t="s">
        <v>11</v>
      </c>
      <c r="D4" s="1" t="s">
        <v>12</v>
      </c>
    </row>
    <row r="5" spans="2:4" x14ac:dyDescent="0.45">
      <c r="B5" s="2" t="s">
        <v>6</v>
      </c>
      <c r="C5" s="6">
        <v>0.48149999999999998</v>
      </c>
      <c r="D5" s="6">
        <v>0.36599999999999999</v>
      </c>
    </row>
    <row r="6" spans="2:4" x14ac:dyDescent="0.45">
      <c r="B6" s="2" t="s">
        <v>7</v>
      </c>
      <c r="C6" s="6">
        <v>0.43240000000000001</v>
      </c>
      <c r="D6" s="6">
        <v>0.42480000000000001</v>
      </c>
    </row>
    <row r="7" spans="2:4" x14ac:dyDescent="0.45">
      <c r="B7" s="2" t="s">
        <v>8</v>
      </c>
      <c r="C7" s="6">
        <v>0.34799999999999998</v>
      </c>
      <c r="D7" s="6">
        <v>0.28139999999999998</v>
      </c>
    </row>
    <row r="8" spans="2:4" x14ac:dyDescent="0.45">
      <c r="B8" s="2" t="s">
        <v>9</v>
      </c>
      <c r="C8" s="6">
        <v>0.3039</v>
      </c>
      <c r="D8" s="6">
        <v>0.29580000000000001</v>
      </c>
    </row>
    <row r="9" spans="2:4" x14ac:dyDescent="0.45">
      <c r="B9" s="2" t="s">
        <v>10</v>
      </c>
      <c r="C9" s="6">
        <v>0.44900000000000001</v>
      </c>
      <c r="D9" s="6">
        <v>0.44479999999999997</v>
      </c>
    </row>
  </sheetData>
  <mergeCells count="2">
    <mergeCell ref="B2:D2"/>
    <mergeCell ref="C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A5A5-8C49-44D8-B95B-1B1E08481481}">
  <dimension ref="B2:D9"/>
  <sheetViews>
    <sheetView workbookViewId="0">
      <selection activeCell="C6" sqref="C6:D6"/>
    </sheetView>
  </sheetViews>
  <sheetFormatPr defaultColWidth="10.6640625" defaultRowHeight="14.25" x14ac:dyDescent="0.45"/>
  <cols>
    <col min="2" max="2" width="41.86328125" customWidth="1"/>
  </cols>
  <sheetData>
    <row r="2" spans="2:4" x14ac:dyDescent="0.45">
      <c r="B2" s="7" t="s">
        <v>5</v>
      </c>
      <c r="C2" s="7"/>
      <c r="D2" s="7"/>
    </row>
    <row r="3" spans="2:4" x14ac:dyDescent="0.45">
      <c r="C3" s="7"/>
      <c r="D3" s="7"/>
    </row>
    <row r="4" spans="2:4" x14ac:dyDescent="0.45">
      <c r="B4" s="2"/>
      <c r="C4" s="1" t="s">
        <v>11</v>
      </c>
      <c r="D4" s="1" t="s">
        <v>12</v>
      </c>
    </row>
    <row r="5" spans="2:4" x14ac:dyDescent="0.45">
      <c r="B5" s="2" t="s">
        <v>6</v>
      </c>
      <c r="C5" s="5">
        <v>0.44169999999999998</v>
      </c>
      <c r="D5" s="5">
        <v>0.38319999999999999</v>
      </c>
    </row>
    <row r="6" spans="2:4" x14ac:dyDescent="0.45">
      <c r="B6" s="2" t="s">
        <v>7</v>
      </c>
      <c r="C6" s="5">
        <v>0.19670000000000001</v>
      </c>
      <c r="D6" s="5">
        <v>0.25059999999999999</v>
      </c>
    </row>
    <row r="7" spans="2:4" x14ac:dyDescent="0.45">
      <c r="B7" s="2" t="s">
        <v>8</v>
      </c>
      <c r="C7" s="5">
        <v>0.26329999999999998</v>
      </c>
      <c r="D7" s="5">
        <v>0.23680000000000001</v>
      </c>
    </row>
    <row r="8" spans="2:4" x14ac:dyDescent="0.45">
      <c r="B8" s="2" t="s">
        <v>9</v>
      </c>
      <c r="C8" s="5">
        <v>0.26910000000000001</v>
      </c>
      <c r="D8" s="5">
        <v>0.19980000000000001</v>
      </c>
    </row>
    <row r="9" spans="2:4" x14ac:dyDescent="0.45">
      <c r="B9" s="2" t="s">
        <v>10</v>
      </c>
      <c r="C9" s="5">
        <v>0.44550000000000001</v>
      </c>
      <c r="D9" s="5">
        <v>0.37740000000000001</v>
      </c>
    </row>
  </sheetData>
  <mergeCells count="2">
    <mergeCell ref="B2:D2"/>
    <mergeCell ref="C3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D09D-3923-4817-9A63-97D7104E46F0}">
  <dimension ref="B2:F20"/>
  <sheetViews>
    <sheetView workbookViewId="0">
      <selection activeCell="E12" sqref="E12"/>
    </sheetView>
  </sheetViews>
  <sheetFormatPr defaultColWidth="10.6640625" defaultRowHeight="14.25" x14ac:dyDescent="0.45"/>
  <cols>
    <col min="1" max="1" width="10.86328125" customWidth="1"/>
    <col min="2" max="2" width="16.46484375" customWidth="1"/>
  </cols>
  <sheetData>
    <row r="2" spans="2:6" x14ac:dyDescent="0.45">
      <c r="B2" s="7" t="s">
        <v>1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10</v>
      </c>
      <c r="C5" s="8"/>
      <c r="D5" s="8"/>
      <c r="E5">
        <v>8.5204000000000004</v>
      </c>
      <c r="F5">
        <v>8.1824999999999992</v>
      </c>
    </row>
    <row r="6" spans="2:6" x14ac:dyDescent="0.45">
      <c r="B6" s="8" t="s">
        <v>14</v>
      </c>
      <c r="C6" s="8"/>
      <c r="D6" s="8"/>
      <c r="E6">
        <v>8.1807999999999996</v>
      </c>
      <c r="F6">
        <v>8.1297999999999995</v>
      </c>
    </row>
    <row r="7" spans="2:6" x14ac:dyDescent="0.45">
      <c r="B7" s="8" t="s">
        <v>15</v>
      </c>
      <c r="C7" s="8"/>
      <c r="D7" s="8"/>
      <c r="E7">
        <v>9.2134</v>
      </c>
      <c r="F7">
        <v>8.5805000000000007</v>
      </c>
    </row>
    <row r="8" spans="2:6" x14ac:dyDescent="0.45">
      <c r="B8" s="8" t="s">
        <v>16</v>
      </c>
      <c r="C8" s="8"/>
      <c r="D8" s="8"/>
      <c r="E8">
        <v>8.6065000000000005</v>
      </c>
      <c r="F8">
        <v>7.9371</v>
      </c>
    </row>
    <row r="9" spans="2:6" x14ac:dyDescent="0.45">
      <c r="B9" s="8" t="s">
        <v>13</v>
      </c>
      <c r="C9" s="8"/>
      <c r="D9" s="8"/>
      <c r="E9">
        <v>7.9837999999999996</v>
      </c>
      <c r="F9">
        <v>7.6291000000000002</v>
      </c>
    </row>
    <row r="20" spans="2:2" x14ac:dyDescent="0.45">
      <c r="B20" s="4"/>
    </row>
  </sheetData>
  <mergeCells count="7">
    <mergeCell ref="B8:D8"/>
    <mergeCell ref="B9:D9"/>
    <mergeCell ref="B5:D5"/>
    <mergeCell ref="B2:F2"/>
    <mergeCell ref="B4:D4"/>
    <mergeCell ref="B6:D6"/>
    <mergeCell ref="B7:D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6E5A-AEA6-4BF2-A0FA-B424C82AF1B5}">
  <dimension ref="B2:F8"/>
  <sheetViews>
    <sheetView workbookViewId="0">
      <selection activeCell="E5" sqref="E5"/>
    </sheetView>
  </sheetViews>
  <sheetFormatPr defaultColWidth="10.6640625" defaultRowHeight="14.25" x14ac:dyDescent="0.45"/>
  <sheetData>
    <row r="2" spans="2:6" x14ac:dyDescent="0.45">
      <c r="B2" s="7" t="s">
        <v>17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18</v>
      </c>
      <c r="C5" s="8"/>
      <c r="D5" s="8"/>
      <c r="E5" s="6">
        <f>('Abb2.'!C5)</f>
        <v>0.57689999999999997</v>
      </c>
      <c r="F5" s="6">
        <f>('Abb2.'!D5)</f>
        <v>0.49270000000000003</v>
      </c>
    </row>
    <row r="6" spans="2:6" x14ac:dyDescent="0.45">
      <c r="B6" s="8" t="s">
        <v>19</v>
      </c>
      <c r="C6" s="8"/>
      <c r="D6" s="8"/>
      <c r="E6" s="6">
        <f>('Abb3.'!C5)</f>
        <v>0.61180000000000001</v>
      </c>
      <c r="F6" s="6">
        <f>('Abb3.'!D5)</f>
        <v>0.37509999999999999</v>
      </c>
    </row>
    <row r="7" spans="2:6" x14ac:dyDescent="0.45">
      <c r="B7" s="8" t="s">
        <v>20</v>
      </c>
      <c r="C7" s="8"/>
      <c r="D7" s="8"/>
      <c r="E7" s="6">
        <f>('Abb4.'!C5)</f>
        <v>0.48149999999999998</v>
      </c>
      <c r="F7" s="6">
        <f>('Abb4.'!D5)</f>
        <v>0.36599999999999999</v>
      </c>
    </row>
    <row r="8" spans="2:6" x14ac:dyDescent="0.45">
      <c r="B8" s="8" t="s">
        <v>21</v>
      </c>
      <c r="C8" s="8"/>
      <c r="D8" s="8"/>
      <c r="E8" s="6">
        <f>(Abb.5!C5)</f>
        <v>0.44169999999999998</v>
      </c>
      <c r="F8" s="6">
        <f>(Abb.5!D5)</f>
        <v>0.38319999999999999</v>
      </c>
    </row>
  </sheetData>
  <mergeCells count="6">
    <mergeCell ref="B8:D8"/>
    <mergeCell ref="B2:F2"/>
    <mergeCell ref="B4:D4"/>
    <mergeCell ref="B5:D5"/>
    <mergeCell ref="B6:D6"/>
    <mergeCell ref="B7:D7"/>
  </mergeCells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EE1C-9EE9-460B-A864-872B56A99FF8}">
  <dimension ref="B2:F8"/>
  <sheetViews>
    <sheetView workbookViewId="0">
      <selection activeCell="N14" sqref="N14"/>
    </sheetView>
  </sheetViews>
  <sheetFormatPr defaultColWidth="10.6640625" defaultRowHeight="14.25" x14ac:dyDescent="0.45"/>
  <sheetData>
    <row r="2" spans="2:6" x14ac:dyDescent="0.45">
      <c r="B2" s="7" t="s">
        <v>22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18</v>
      </c>
      <c r="C5" s="8"/>
      <c r="D5" s="8"/>
      <c r="E5" s="6">
        <f>('Abb2.'!C6)</f>
        <v>0.6502</v>
      </c>
      <c r="F5" s="6">
        <f>('Abb2.'!D6)</f>
        <v>0.6371</v>
      </c>
    </row>
    <row r="6" spans="2:6" x14ac:dyDescent="0.45">
      <c r="B6" s="8" t="s">
        <v>19</v>
      </c>
      <c r="C6" s="8"/>
      <c r="D6" s="8"/>
      <c r="E6" s="6">
        <f>('Abb3.'!C6)</f>
        <v>0.7298</v>
      </c>
      <c r="F6" s="6">
        <f>('Abb3.'!D6)</f>
        <v>0.6331</v>
      </c>
    </row>
    <row r="7" spans="2:6" x14ac:dyDescent="0.45">
      <c r="B7" s="8" t="s">
        <v>20</v>
      </c>
      <c r="C7" s="8"/>
      <c r="D7" s="8"/>
      <c r="E7" s="6">
        <f>('Abb4.'!C6)</f>
        <v>0.43240000000000001</v>
      </c>
      <c r="F7" s="6">
        <f>('Abb4.'!D6)</f>
        <v>0.42480000000000001</v>
      </c>
    </row>
    <row r="8" spans="2:6" x14ac:dyDescent="0.45">
      <c r="B8" s="8" t="s">
        <v>21</v>
      </c>
      <c r="C8" s="8"/>
      <c r="D8" s="8"/>
      <c r="E8" s="6">
        <f>(Abb.5!C6)</f>
        <v>0.19670000000000001</v>
      </c>
      <c r="F8" s="6">
        <f>(Abb.5!D6)</f>
        <v>0.25059999999999999</v>
      </c>
    </row>
  </sheetData>
  <mergeCells count="6">
    <mergeCell ref="B8:D8"/>
    <mergeCell ref="B2:F2"/>
    <mergeCell ref="B4:D4"/>
    <mergeCell ref="B5:D5"/>
    <mergeCell ref="B6:D6"/>
    <mergeCell ref="B7:D7"/>
  </mergeCells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5D56-81B0-4D19-98AE-832E8D75F7B3}">
  <dimension ref="B2:F8"/>
  <sheetViews>
    <sheetView workbookViewId="0">
      <selection activeCell="N17" sqref="N17"/>
    </sheetView>
  </sheetViews>
  <sheetFormatPr defaultColWidth="10.6640625" defaultRowHeight="14.25" x14ac:dyDescent="0.45"/>
  <sheetData>
    <row r="2" spans="2:6" x14ac:dyDescent="0.45">
      <c r="B2" s="7" t="s">
        <v>23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18</v>
      </c>
      <c r="C5" s="8"/>
      <c r="D5" s="8"/>
      <c r="E5" s="6">
        <f>('Abb2.'!C7)</f>
        <v>0.3876</v>
      </c>
      <c r="F5" s="6">
        <f>('Abb2.'!D7)</f>
        <v>0.3523</v>
      </c>
    </row>
    <row r="6" spans="2:6" x14ac:dyDescent="0.45">
      <c r="B6" s="8" t="s">
        <v>19</v>
      </c>
      <c r="C6" s="8"/>
      <c r="D6" s="8"/>
      <c r="E6" s="6">
        <f>('Abb3.'!C7)</f>
        <v>0.42799999999999999</v>
      </c>
      <c r="F6" s="6">
        <f>('Abb3.'!D7)</f>
        <v>0.24179999999999999</v>
      </c>
    </row>
    <row r="7" spans="2:6" x14ac:dyDescent="0.45">
      <c r="B7" s="8" t="s">
        <v>20</v>
      </c>
      <c r="C7" s="8"/>
      <c r="D7" s="8"/>
      <c r="E7" s="6">
        <f>('Abb4.'!C7)</f>
        <v>0.34799999999999998</v>
      </c>
      <c r="F7" s="6">
        <f>('Abb4.'!D7)</f>
        <v>0.28139999999999998</v>
      </c>
    </row>
    <row r="8" spans="2:6" x14ac:dyDescent="0.45">
      <c r="B8" s="8" t="s">
        <v>21</v>
      </c>
      <c r="C8" s="8"/>
      <c r="D8" s="8"/>
      <c r="E8" s="6">
        <f>(Abb.5!C7)</f>
        <v>0.26329999999999998</v>
      </c>
      <c r="F8" s="6">
        <f>(Abb.5!D7)</f>
        <v>0.23680000000000001</v>
      </c>
    </row>
  </sheetData>
  <mergeCells count="6">
    <mergeCell ref="B8:D8"/>
    <mergeCell ref="B2:F2"/>
    <mergeCell ref="B4:D4"/>
    <mergeCell ref="B5:D5"/>
    <mergeCell ref="B6:D6"/>
    <mergeCell ref="B7:D7"/>
  </mergeCell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B4EC-338A-4552-98B5-AE711AFDED48}">
  <dimension ref="B2:F8"/>
  <sheetViews>
    <sheetView workbookViewId="0">
      <selection activeCell="N16" sqref="N16"/>
    </sheetView>
  </sheetViews>
  <sheetFormatPr defaultColWidth="10.6640625" defaultRowHeight="14.25" x14ac:dyDescent="0.45"/>
  <sheetData>
    <row r="2" spans="2:6" x14ac:dyDescent="0.45">
      <c r="B2" s="7" t="s">
        <v>24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18</v>
      </c>
      <c r="C5" s="8"/>
      <c r="D5" s="8"/>
      <c r="E5" s="6">
        <f>('Abb2.'!C8)</f>
        <v>0.44629999999999997</v>
      </c>
      <c r="F5" s="6">
        <f>('Abb2.'!D8)</f>
        <v>0.34799999999999998</v>
      </c>
    </row>
    <row r="6" spans="2:6" x14ac:dyDescent="0.45">
      <c r="B6" s="8" t="s">
        <v>19</v>
      </c>
      <c r="C6" s="8"/>
      <c r="D6" s="8"/>
      <c r="E6" s="6">
        <f>('Abb3.'!C8)</f>
        <v>0.42480000000000001</v>
      </c>
      <c r="F6" s="6">
        <f>('Abb3.'!D8)</f>
        <v>0.27129999999999999</v>
      </c>
    </row>
    <row r="7" spans="2:6" x14ac:dyDescent="0.45">
      <c r="B7" s="8" t="s">
        <v>20</v>
      </c>
      <c r="C7" s="8"/>
      <c r="D7" s="8"/>
      <c r="E7" s="6">
        <f>('Abb4.'!C8)</f>
        <v>0.3039</v>
      </c>
      <c r="F7" s="6">
        <f>('Abb4.'!D8)</f>
        <v>0.29580000000000001</v>
      </c>
    </row>
    <row r="8" spans="2:6" x14ac:dyDescent="0.45">
      <c r="B8" s="8" t="s">
        <v>21</v>
      </c>
      <c r="C8" s="8"/>
      <c r="D8" s="8"/>
      <c r="E8" s="6">
        <f>(Abb.5!C8)</f>
        <v>0.26910000000000001</v>
      </c>
      <c r="F8" s="6">
        <f>(Abb.5!D8)</f>
        <v>0.19980000000000001</v>
      </c>
    </row>
  </sheetData>
  <mergeCells count="6">
    <mergeCell ref="B8:D8"/>
    <mergeCell ref="B2:F2"/>
    <mergeCell ref="B4:D4"/>
    <mergeCell ref="B5:D5"/>
    <mergeCell ref="B6:D6"/>
    <mergeCell ref="B7:D7"/>
  </mergeCells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5136-98E5-4A70-B83F-FA30EFC45A95}">
  <dimension ref="B2:F8"/>
  <sheetViews>
    <sheetView workbookViewId="0">
      <selection activeCell="B5" sqref="B5:D5"/>
    </sheetView>
  </sheetViews>
  <sheetFormatPr defaultColWidth="10.6640625" defaultRowHeight="14.25" x14ac:dyDescent="0.45"/>
  <sheetData>
    <row r="2" spans="2:6" x14ac:dyDescent="0.45">
      <c r="B2" s="7" t="s">
        <v>25</v>
      </c>
      <c r="C2" s="7"/>
      <c r="D2" s="7"/>
      <c r="E2" s="7"/>
      <c r="F2" s="7"/>
    </row>
    <row r="4" spans="2:6" x14ac:dyDescent="0.45">
      <c r="B4" s="8"/>
      <c r="C4" s="8"/>
      <c r="D4" s="8"/>
      <c r="E4" s="1" t="s">
        <v>11</v>
      </c>
      <c r="F4" s="1" t="s">
        <v>12</v>
      </c>
    </row>
    <row r="5" spans="2:6" x14ac:dyDescent="0.45">
      <c r="B5" s="8" t="s">
        <v>18</v>
      </c>
      <c r="C5" s="8"/>
      <c r="D5" s="8"/>
      <c r="E5" s="6">
        <f>('Abb2.'!C9)</f>
        <v>0.6411</v>
      </c>
      <c r="F5" s="6">
        <f>('Abb2.'!D9)</f>
        <v>0.51090000000000002</v>
      </c>
    </row>
    <row r="6" spans="2:6" x14ac:dyDescent="0.45">
      <c r="B6" s="8" t="s">
        <v>19</v>
      </c>
      <c r="C6" s="8"/>
      <c r="D6" s="8"/>
      <c r="E6" s="6">
        <f>('Abb3.'!C9)</f>
        <v>0.71099999999999997</v>
      </c>
      <c r="F6" s="6">
        <f>('Abb3.'!D9)</f>
        <v>0.41070000000000001</v>
      </c>
    </row>
    <row r="7" spans="2:6" x14ac:dyDescent="0.45">
      <c r="B7" s="8" t="s">
        <v>20</v>
      </c>
      <c r="C7" s="8"/>
      <c r="D7" s="8"/>
      <c r="E7" s="6">
        <f>('Abb4.'!C9)</f>
        <v>0.44900000000000001</v>
      </c>
      <c r="F7" s="6">
        <f>('Abb4.'!D9)</f>
        <v>0.44479999999999997</v>
      </c>
    </row>
    <row r="8" spans="2:6" x14ac:dyDescent="0.45">
      <c r="B8" s="8" t="s">
        <v>21</v>
      </c>
      <c r="C8" s="8"/>
      <c r="D8" s="8"/>
      <c r="E8" s="6">
        <f>(Abb.5!C9)</f>
        <v>0.44550000000000001</v>
      </c>
      <c r="F8" s="6">
        <f>(Abb.5!D9)</f>
        <v>0.37740000000000001</v>
      </c>
    </row>
  </sheetData>
  <mergeCells count="6">
    <mergeCell ref="B8:D8"/>
    <mergeCell ref="B2:F2"/>
    <mergeCell ref="B4:D4"/>
    <mergeCell ref="B5:D5"/>
    <mergeCell ref="B6:D6"/>
    <mergeCell ref="B7:D7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Abb1.</vt:lpstr>
      <vt:lpstr>Abb2.</vt:lpstr>
      <vt:lpstr>Abb3.</vt:lpstr>
      <vt:lpstr>Abb4.</vt:lpstr>
      <vt:lpstr>Abb.5</vt:lpstr>
      <vt:lpstr>Abb. 6</vt:lpstr>
      <vt:lpstr>Abb7.</vt:lpstr>
      <vt:lpstr>Abb8.</vt:lpstr>
      <vt:lpstr>Abb9.</vt:lpstr>
      <vt:lpstr>Abb10.</vt:lpstr>
      <vt:lpstr>Abb11.</vt:lpstr>
    </vt:vector>
  </TitlesOfParts>
  <Company>ITZBund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 Lazo, David</dc:creator>
  <cp:lastModifiedBy>Bustamante Lazo, David</cp:lastModifiedBy>
  <dcterms:created xsi:type="dcterms:W3CDTF">2023-12-01T12:16:45Z</dcterms:created>
  <dcterms:modified xsi:type="dcterms:W3CDTF">2025-10-23T12:13:56Z</dcterms:modified>
</cp:coreProperties>
</file>